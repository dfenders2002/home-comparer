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Dashboard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€#,##0;[RED]&quot;(€&quot;#,##0\);\-"/>
    <numFmt numFmtId="165" formatCode="#,##0;[RED]\(#,##0\);\-"/>
    <numFmt numFmtId="166" formatCode="\€#,##0.00;[RED]&quot;(€&quot;#,##0.00\);\-"/>
    <numFmt numFmtId="167" formatCode="0.0%;[RED]\(0.0%\);\-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b val="1"/>
      <color rgb="FFC00000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2E7D32"/>
        <bgColor rgb="FF008000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bottom"/>
    </xf>
    <xf numFmtId="164" fontId="9" fillId="4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0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11" fillId="6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right" vertical="center"/>
    </xf>
    <xf numFmtId="1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general" vertical="bottom"/>
    </xf>
    <xf numFmtId="164" fontId="9" fillId="7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bottom"/>
    </xf>
    <xf numFmtId="164" fontId="9" fillId="4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0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11" fillId="6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right" vertical="center"/>
    </xf>
    <xf numFmtId="1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general" vertical="bottom"/>
    </xf>
    <xf numFmtId="164" fontId="9" fillId="7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general" vertical="bottom"/>
    </xf>
    <xf numFmtId="9" fontId="6" fillId="0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33CCCC"/>
      <rgbColor rgb="FF98B855"/>
      <rgbColor rgb="FFFFCC00"/>
      <rgbColor rgb="FFFF9900"/>
      <rgbColor rgb="FFFF6600"/>
      <rgbColor rgb="FF7D5FA0"/>
      <rgbColor rgb="FF9BBB59"/>
      <rgbColor rgb="FF003366"/>
      <rgbColor rgb="FF2E7D32"/>
      <rgbColor rgb="FF003300"/>
      <rgbColor rgb="FF333300"/>
      <rgbColor rgb="FF993300"/>
      <rgbColor rgb="FFC0504D"/>
      <rgbColor rgb="FF1F4E78"/>
      <rgbColor rgb="FF59595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Waardegroei 8 jaar (realistisch)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"Gravenstraat 93"</f>
              <strCache>
                <ptCount val="1"/>
                <pt idx="0">
                  <v>Gravenstraat 93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Jr 8</v>
                  </pt>
                </lvl>
                <lvl>
                  <pt idx="0">
                    <v>Jr 7</v>
                  </pt>
                </lvl>
                <lvl>
                  <pt idx="0">
                    <v>Jr 6</v>
                  </pt>
                </lvl>
                <lvl>
                  <pt idx="0">
                    <v>Jr 5</v>
                  </pt>
                </lvl>
                <lvl>
                  <pt idx="0">
                    <v>Jr 4</v>
                  </pt>
                </lvl>
                <lvl>
                  <pt idx="0">
                    <v>Jr 3</v>
                  </pt>
                </lvl>
                <lvl>
                  <pt idx="0">
                    <v>Jr 2</v>
                  </pt>
                </lvl>
                <lvl>
                  <pt idx="0">
                    <v>Jr 1</v>
                  </pt>
                </lvl>
                <lvl>
                  <pt idx="0">
                    <v>Jr 0</v>
                  </pt>
                </lvl>
              </multiLvlStrCache>
              <f>Dashboard!$B$31:$J$31</f>
            </multiLvlStrRef>
          </cat>
          <val>
            <numRef>
              <f>Dashboard!$B$32:$J$32</f>
              <numCache>
                <formatCode>\€#,##0;[RED]"(€"#,##0\);\-</formatCode>
                <ptCount val="9"/>
                <pt idx="0">
                  <v>365000</v>
                </pt>
                <pt idx="1">
                  <v>385075</v>
                </pt>
                <pt idx="2">
                  <v>406254.125</v>
                </pt>
                <pt idx="3">
                  <v>428598.101875</v>
                </pt>
                <pt idx="4">
                  <v>452170.997478125</v>
                </pt>
                <pt idx="5">
                  <v>477040.402339422</v>
                </pt>
                <pt idx="6">
                  <v>503277.62446809</v>
                </pt>
                <pt idx="7">
                  <v>530957.893813835</v>
                </pt>
                <pt idx="8">
                  <v>560160.5779735961</v>
                </pt>
              </numCache>
            </numRef>
          </val>
          <smooth val="1"/>
        </ser>
        <ser>
          <idx val="1"/>
          <order val="1"/>
          <tx>
            <strRef>
              <f>"Aziëlaan 57"</f>
              <strCache>
                <ptCount val="1"/>
                <pt idx="0">
                  <v>Aziëlaan 57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Jr 8</v>
                  </pt>
                </lvl>
                <lvl>
                  <pt idx="0">
                    <v>Jr 7</v>
                  </pt>
                </lvl>
                <lvl>
                  <pt idx="0">
                    <v>Jr 6</v>
                  </pt>
                </lvl>
                <lvl>
                  <pt idx="0">
                    <v>Jr 5</v>
                  </pt>
                </lvl>
                <lvl>
                  <pt idx="0">
                    <v>Jr 4</v>
                  </pt>
                </lvl>
                <lvl>
                  <pt idx="0">
                    <v>Jr 3</v>
                  </pt>
                </lvl>
                <lvl>
                  <pt idx="0">
                    <v>Jr 2</v>
                  </pt>
                </lvl>
                <lvl>
                  <pt idx="0">
                    <v>Jr 1</v>
                  </pt>
                </lvl>
                <lvl>
                  <pt idx="0">
                    <v>Jr 0</v>
                  </pt>
                </lvl>
              </multiLvlStrCache>
              <f>Dashboard!$B$31:$J$31</f>
            </multiLvlStrRef>
          </cat>
          <val>
            <numRef>
              <f>Dashboard!$B$33:$J$33</f>
              <numCache>
                <formatCode>\€#,##0;[RED]"(€"#,##0\);\-</formatCode>
                <ptCount val="9"/>
                <pt idx="0">
                  <v>440000</v>
                </pt>
                <pt idx="1">
                  <v>473000</v>
                </pt>
                <pt idx="2">
                  <v>508475</v>
                </pt>
                <pt idx="3">
                  <v>546610.625</v>
                </pt>
                <pt idx="4">
                  <v>587606.421875</v>
                </pt>
                <pt idx="5">
                  <v>631676.903515625</v>
                </pt>
                <pt idx="6">
                  <v>679052.671279297</v>
                </pt>
                <pt idx="7">
                  <v>729981.621625244</v>
                </pt>
                <pt idx="8">
                  <v>784730.2432471371</v>
                </pt>
              </numCache>
            </numRef>
          </val>
          <smooth val="1"/>
        </ser>
        <ser>
          <idx val="2"/>
          <order val="2"/>
          <tx>
            <strRef>
              <f>"Abel Tasmanstraat 128"</f>
              <strCache>
                <ptCount val="1"/>
                <pt idx="0">
                  <v>Abel Tasmanstraat 128</v>
                </pt>
              </strCache>
            </strRef>
          </tx>
          <spPr>
            <a:solidFill xmlns:a="http://schemas.openxmlformats.org/drawingml/2006/main">
              <a:srgbClr val="98b855"/>
            </a:solidFill>
            <a:ln xmlns:a="http://schemas.openxmlformats.org/drawingml/2006/main" w="28440">
              <a:solidFill>
                <a:srgbClr val="98b85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Jr 8</v>
                  </pt>
                </lvl>
                <lvl>
                  <pt idx="0">
                    <v>Jr 7</v>
                  </pt>
                </lvl>
                <lvl>
                  <pt idx="0">
                    <v>Jr 6</v>
                  </pt>
                </lvl>
                <lvl>
                  <pt idx="0">
                    <v>Jr 5</v>
                  </pt>
                </lvl>
                <lvl>
                  <pt idx="0">
                    <v>Jr 4</v>
                  </pt>
                </lvl>
                <lvl>
                  <pt idx="0">
                    <v>Jr 3</v>
                  </pt>
                </lvl>
                <lvl>
                  <pt idx="0">
                    <v>Jr 2</v>
                  </pt>
                </lvl>
                <lvl>
                  <pt idx="0">
                    <v>Jr 1</v>
                  </pt>
                </lvl>
                <lvl>
                  <pt idx="0">
                    <v>Jr 0</v>
                  </pt>
                </lvl>
              </multiLvlStrCache>
              <f>Dashboard!$B$31:$J$31</f>
            </multiLvlStrRef>
          </cat>
          <val>
            <numRef>
              <f>Dashboard!$B$34:$J$34</f>
              <numCache>
                <formatCode>\€#,##0;[RED]"(€"#,##0\);\-</formatCode>
                <ptCount val="9"/>
                <pt idx="0">
                  <v>479000</v>
                </pt>
                <pt idx="1">
                  <v>507740</v>
                </pt>
                <pt idx="2">
                  <v>538204.4</v>
                </pt>
                <pt idx="3">
                  <v>570496.664</v>
                </pt>
                <pt idx="4">
                  <v>604726.46384</v>
                </pt>
                <pt idx="5">
                  <v>641010.0516704</v>
                </pt>
                <pt idx="6">
                  <v>679470.654770624</v>
                </pt>
                <pt idx="7">
                  <v>720238.894056862</v>
                </pt>
                <pt idx="8">
                  <v>763453.227700274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95627896"/>
        <axId val="20402400"/>
      </lineChart>
      <catAx>
        <axId val="9562789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Jaar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0402400"/>
        <crosses val="autoZero"/>
        <auto val="1"/>
        <lblAlgn val="ctr"/>
        <lblOffset val="100"/>
        <noMultiLvlLbl val="0"/>
      </catAx>
      <valAx>
        <axId val="2040240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Waarde (€)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€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56278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Netto opbrengst na 8 jaar verkoop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Dashboard!$H$5:$J$5</f>
              <strCache>
                <ptCount val="3"/>
                <pt idx="0">
                  <v>Gravenstraat 93</v>
                </pt>
                <pt idx="1">
                  <v>Aziëlaan 57</v>
                </pt>
                <pt idx="2">
                  <v>Abel Tasmanstraat 128</v>
                </pt>
              </strCache>
            </strRef>
          </cat>
          <val>
            <numRef>
              <f>Dashboard!$H$26</f>
              <numCache>
                <formatCode>\€#,##0;[RED]"(€"#,##0\);\-</formatCode>
                <ptCount val="1"/>
                <pt idx="0">
                  <v>244156.432550907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Dashboard!$H$5:$J$5</f>
              <strCache>
                <ptCount val="3"/>
                <pt idx="0">
                  <v>Gravenstraat 93</v>
                </pt>
                <pt idx="1">
                  <v>Aziëlaan 57</v>
                </pt>
                <pt idx="2">
                  <v>Abel Tasmanstraat 128</v>
                </pt>
              </strCache>
            </strRef>
          </cat>
          <val>
            <numRef>
              <f>Dashboard!$I$26</f>
              <numCache>
                <formatCode>\€#,##0;[RED]"(€"#,##0\);\-</formatCode>
                <ptCount val="1"/>
                <pt idx="0">
                  <v>404109.588798015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Dashboard!$H$5:$J$5</f>
              <strCache>
                <ptCount val="3"/>
                <pt idx="0">
                  <v>Gravenstraat 93</v>
                </pt>
                <pt idx="1">
                  <v>Aziëlaan 57</v>
                </pt>
                <pt idx="2">
                  <v>Abel Tasmanstraat 128</v>
                </pt>
              </strCache>
            </strRef>
          </cat>
          <val>
            <numRef>
              <f>Dashboard!$J$26</f>
              <numCache>
                <formatCode>\€#,##0;[RED]"(€"#,##0\);\-</formatCode>
                <ptCount val="1"/>
                <pt idx="0">
                  <v>383258.113562089</v>
                </pt>
              </numCache>
            </numRef>
          </val>
        </ser>
        <gapWidth val="150"/>
        <overlap val="0"/>
        <axId val="63231792"/>
        <axId val="73216407"/>
      </barChart>
      <catAx>
        <axId val="632317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3216407"/>
        <crosses val="autoZero"/>
        <auto val="1"/>
        <lblAlgn val="ctr"/>
        <lblOffset val="100"/>
        <noMultiLvlLbl val="0"/>
      </catAx>
      <valAx>
        <axId val="7321640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Netto (€)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€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323179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Eigen geld nodig per biedscenario (rood = boven €60K budget)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"Gravenstraat 93"</f>
              <strCache>
                <ptCount val="1"/>
                <pt idx="0">
                  <v>Gravenstraat 93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Dashboard!$A$39:$A$45</f>
              <strCache>
                <ptCount val="7"/>
                <pt idx="0">
                  <v>93%</v>
                </pt>
                <pt idx="1">
                  <v>95%</v>
                </pt>
                <pt idx="2">
                  <v>97%</v>
                </pt>
                <pt idx="3">
                  <v>100%</v>
                </pt>
                <pt idx="4">
                  <v>103%</v>
                </pt>
                <pt idx="5">
                  <v>105%</v>
                </pt>
                <pt idx="6">
                  <v>107%</v>
                </pt>
              </strCache>
            </strRef>
          </cat>
          <val>
            <numRef>
              <f>Dashboard!$B$39:$B$45</f>
              <numCache>
                <formatCode>\€#,##0;[RED]"(€"#,##0\);\-</formatCode>
                <ptCount val="7"/>
                <pt idx="0">
                  <v>8586.700000000001</v>
                </pt>
                <pt idx="1">
                  <v>8630.5</v>
                </pt>
                <pt idx="2">
                  <v>8674.299999999999</v>
                </pt>
                <pt idx="3">
                  <v>8740</v>
                </pt>
                <pt idx="4">
                  <v>8805.700000000001</v>
                </pt>
                <pt idx="5">
                  <v>8849.5</v>
                </pt>
                <pt idx="6">
                  <v>8893.299999999999</v>
                </pt>
              </numCache>
            </numRef>
          </val>
          <smooth val="1"/>
        </ser>
        <ser>
          <idx val="1"/>
          <order val="1"/>
          <tx>
            <strRef>
              <f>"Aziëlaan 57"</f>
              <strCache>
                <ptCount val="1"/>
                <pt idx="0">
                  <v>Aziëlaan 57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Dashboard!$A$39:$A$45</f>
              <strCache>
                <ptCount val="7"/>
                <pt idx="0">
                  <v>93%</v>
                </pt>
                <pt idx="1">
                  <v>95%</v>
                </pt>
                <pt idx="2">
                  <v>97%</v>
                </pt>
                <pt idx="3">
                  <v>100%</v>
                </pt>
                <pt idx="4">
                  <v>103%</v>
                </pt>
                <pt idx="5">
                  <v>105%</v>
                </pt>
                <pt idx="6">
                  <v>107%</v>
                </pt>
              </strCache>
            </strRef>
          </cat>
          <val>
            <numRef>
              <f>Dashboard!$C$39:$C$45</f>
              <numCache>
                <formatCode>\€#,##0;[RED]"(€"#,##0\);\-</formatCode>
                <ptCount val="7"/>
                <pt idx="0">
                  <v>9005.200000000001</v>
                </pt>
                <pt idx="1">
                  <v>9058</v>
                </pt>
                <pt idx="2">
                  <v>9110.799999999999</v>
                </pt>
                <pt idx="3">
                  <v>12172</v>
                </pt>
                <pt idx="4">
                  <v>25372</v>
                </pt>
                <pt idx="5">
                  <v>34172</v>
                </pt>
                <pt idx="6">
                  <v>42972</v>
                </pt>
              </numCache>
            </numRef>
          </val>
          <smooth val="1"/>
        </ser>
        <ser>
          <idx val="2"/>
          <order val="2"/>
          <tx>
            <strRef>
              <f>"Abel Tasmanstraat 128"</f>
              <strCache>
                <ptCount val="1"/>
                <pt idx="0">
                  <v>Abel Tasmanstraat 128</v>
                </pt>
              </strCache>
            </strRef>
          </tx>
          <spPr>
            <a:solidFill xmlns:a="http://schemas.openxmlformats.org/drawingml/2006/main">
              <a:srgbClr val="98b855"/>
            </a:solidFill>
            <a:ln xmlns:a="http://schemas.openxmlformats.org/drawingml/2006/main" w="28440">
              <a:solidFill>
                <a:srgbClr val="98b85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Dashboard!$A$39:$A$45</f>
              <strCache>
                <ptCount val="7"/>
                <pt idx="0">
                  <v>93%</v>
                </pt>
                <pt idx="1">
                  <v>95%</v>
                </pt>
                <pt idx="2">
                  <v>97%</v>
                </pt>
                <pt idx="3">
                  <v>100%</v>
                </pt>
                <pt idx="4">
                  <v>103%</v>
                </pt>
                <pt idx="5">
                  <v>105%</v>
                </pt>
                <pt idx="6">
                  <v>107%</v>
                </pt>
              </strCache>
            </strRef>
          </cat>
          <val>
            <numRef>
              <f>Dashboard!$D$39:$D$45</f>
              <numCache>
                <formatCode>\€#,##0;[RED]"(€"#,##0\);\-</formatCode>
                <ptCount val="7"/>
                <pt idx="0">
                  <v>17642</v>
                </pt>
                <pt idx="1">
                  <v>27222</v>
                </pt>
                <pt idx="2">
                  <v>36802</v>
                </pt>
                <pt idx="3">
                  <v>51172</v>
                </pt>
                <pt idx="4">
                  <v>65542</v>
                </pt>
                <pt idx="5">
                  <v>75122</v>
                </pt>
                <pt idx="6">
                  <v>84702.0000000001</v>
                </pt>
              </numCache>
            </numRef>
          </val>
          <smooth val="1"/>
        </ser>
        <ser>
          <idx val="3"/>
          <order val="3"/>
          <tx>
            <strRef>
              <f>"Budget €60K"</f>
              <strCache>
                <ptCount val="1"/>
                <pt idx="0">
                  <v>Budget €60K</v>
                </pt>
              </strCache>
            </strRef>
          </tx>
          <spPr>
            <a:solidFill xmlns:a="http://schemas.openxmlformats.org/drawingml/2006/main">
              <a:srgbClr val="7d5fa0"/>
            </a:solidFill>
            <a:ln xmlns:a="http://schemas.openxmlformats.org/drawingml/2006/main" w="28440">
              <a:solidFill>
                <a:srgbClr val="7d5fa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Dashboard!$A$39:$A$45</f>
              <strCache>
                <ptCount val="7"/>
                <pt idx="0">
                  <v>93%</v>
                </pt>
                <pt idx="1">
                  <v>95%</v>
                </pt>
                <pt idx="2">
                  <v>97%</v>
                </pt>
                <pt idx="3">
                  <v>100%</v>
                </pt>
                <pt idx="4">
                  <v>103%</v>
                </pt>
                <pt idx="5">
                  <v>105%</v>
                </pt>
                <pt idx="6">
                  <v>107%</v>
                </pt>
              </strCache>
            </strRef>
          </cat>
          <val>
            <numRef>
              <f>Dashboard!$E$39:$E$45</f>
              <numCache>
                <formatCode>\€#,##0;[RED]"(€"#,##0\);\-</formatCode>
                <ptCount val="7"/>
                <pt idx="0">
                  <v>60000</v>
                </pt>
                <pt idx="1">
                  <v>60000</v>
                </pt>
                <pt idx="2">
                  <v>60000</v>
                </pt>
                <pt idx="3">
                  <v>60000</v>
                </pt>
                <pt idx="4">
                  <v>60000</v>
                </pt>
                <pt idx="5">
                  <v>60000</v>
                </pt>
                <pt idx="6">
                  <v>60000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1505109"/>
        <axId val="85501372"/>
      </lineChart>
      <catAx>
        <axId val="11505109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Bod % van vraagprijs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5501372"/>
        <crosses val="autoZero"/>
        <auto val="1"/>
        <lblAlgn val="ctr"/>
        <lblOffset val="100"/>
        <noMultiLvlLbl val="0"/>
      </catAx>
      <valAx>
        <axId val="8550137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Eigen geld (€)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€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150510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Vraagprijs vs WOZ vs Huispedia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Dashboard!B49</f>
              <strCache>
                <ptCount val="1"/>
                <pt idx="0">
                  <v>Gravenstraat 93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Dashboard!$A$50:$A$52</f>
              <strCache>
                <ptCount val="3"/>
                <pt idx="0">
                  <v>WOZ 2025</v>
                </pt>
                <pt idx="1">
                  <v>Huispedia 60%</v>
                </pt>
                <pt idx="2">
                  <v>Vraagprijs</v>
                </pt>
              </strCache>
            </strRef>
          </cat>
          <val>
            <numRef>
              <f>Dashboard!$B$50:$B$52</f>
              <numCache>
                <formatCode>\€#,##0;[RED]"(€"#,##0\);\-</formatCode>
                <ptCount val="3"/>
                <pt idx="0">
                  <v>316000</v>
                </pt>
                <pt idx="1">
                  <v>399000</v>
                </pt>
                <pt idx="2">
                  <v>365000</v>
                </pt>
              </numCache>
            </numRef>
          </val>
        </ser>
        <ser>
          <idx val="1"/>
          <order val="1"/>
          <tx>
            <strRef>
              <f>Dashboard!C49</f>
              <strCache>
                <ptCount val="1"/>
                <pt idx="0">
                  <v>Aziëlaan 57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Dashboard!$A$50:$A$52</f>
              <strCache>
                <ptCount val="3"/>
                <pt idx="0">
                  <v>WOZ 2025</v>
                </pt>
                <pt idx="1">
                  <v>Huispedia 60%</v>
                </pt>
                <pt idx="2">
                  <v>Vraagprijs</v>
                </pt>
              </strCache>
            </strRef>
          </cat>
          <val>
            <numRef>
              <f>Dashboard!$C$50:$C$52</f>
              <numCache>
                <formatCode>\€#,##0;[RED]"(€"#,##0\);\-</formatCode>
                <ptCount val="3"/>
                <pt idx="0">
                  <v>449000</v>
                </pt>
                <pt idx="1">
                  <v>478000</v>
                </pt>
                <pt idx="2">
                  <v>440000</v>
                </pt>
              </numCache>
            </numRef>
          </val>
        </ser>
        <ser>
          <idx val="2"/>
          <order val="2"/>
          <tx>
            <strRef>
              <f>Dashboard!D49</f>
              <strCache>
                <ptCount val="1"/>
                <pt idx="0">
                  <v>Abel Tasmanstraat 128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Dashboard!$A$50:$A$52</f>
              <strCache>
                <ptCount val="3"/>
                <pt idx="0">
                  <v>WOZ 2025</v>
                </pt>
                <pt idx="1">
                  <v>Huispedia 60%</v>
                </pt>
                <pt idx="2">
                  <v>Vraagprijs</v>
                </pt>
              </strCache>
            </strRef>
          </cat>
          <val>
            <numRef>
              <f>Dashboard!$D$50:$D$52</f>
              <numCache>
                <formatCode>\€#,##0;[RED]"(€"#,##0\);\-</formatCode>
                <ptCount val="3"/>
                <pt idx="0">
                  <v>459000</v>
                </pt>
                <pt idx="1">
                  <v>517000</v>
                </pt>
                <pt idx="2">
                  <v>479000</v>
                </pt>
              </numCache>
            </numRef>
          </val>
        </ser>
        <gapWidth val="150"/>
        <overlap val="0"/>
        <axId val="56069002"/>
        <axId val="76121502"/>
      </barChart>
      <catAx>
        <axId val="5606900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6121502"/>
        <crosses val="autoZero"/>
        <auto val="1"/>
        <lblAlgn val="ctr"/>
        <lblOffset val="100"/>
        <noMultiLvlLbl val="0"/>
      </catAx>
      <valAx>
        <axId val="7612150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€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606900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Views per dag op Funda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Dashboard!$B$5:$D$5</f>
              <strCache>
                <ptCount val="3"/>
                <pt idx="0">
                  <v>Gravenstraat 93</v>
                </pt>
                <pt idx="1">
                  <v>Aziëlaan 57</v>
                </pt>
                <pt idx="2">
                  <v>Abel Tasmanstraat 128</v>
                </pt>
              </strCache>
            </strRef>
          </cat>
          <val>
            <numRef>
              <f>Dashboard!$B$21</f>
              <numCache>
                <formatCode>0</formatCode>
                <ptCount val="1"/>
                <pt idx="0">
                  <v>194.4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Dashboard!$B$5:$D$5</f>
              <strCache>
                <ptCount val="3"/>
                <pt idx="0">
                  <v>Gravenstraat 93</v>
                </pt>
                <pt idx="1">
                  <v>Aziëlaan 57</v>
                </pt>
                <pt idx="2">
                  <v>Abel Tasmanstraat 128</v>
                </pt>
              </strCache>
            </strRef>
          </cat>
          <val>
            <numRef>
              <f>Dashboard!$C$21</f>
              <numCache>
                <formatCode>0</formatCode>
                <ptCount val="1"/>
                <pt idx="0">
                  <v>113.4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Dashboard!$B$5:$D$5</f>
              <strCache>
                <ptCount val="3"/>
                <pt idx="0">
                  <v>Gravenstraat 93</v>
                </pt>
                <pt idx="1">
                  <v>Aziëlaan 57</v>
                </pt>
                <pt idx="2">
                  <v>Abel Tasmanstraat 128</v>
                </pt>
              </strCache>
            </strRef>
          </cat>
          <val>
            <numRef>
              <f>Dashboard!$D$21</f>
              <numCache>
                <formatCode>0</formatCode>
                <ptCount val="1"/>
                <pt idx="0">
                  <v>239.166666666667</v>
                </pt>
              </numCache>
            </numRef>
          </val>
        </ser>
        <gapWidth val="150"/>
        <overlap val="0"/>
        <axId val="44377702"/>
        <axId val="14055204"/>
      </barChart>
      <catAx>
        <axId val="4437770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4055204"/>
        <crosses val="autoZero"/>
        <auto val="1"/>
        <lblAlgn val="ctr"/>
        <lblOffset val="100"/>
        <noMultiLvlLbl val="0"/>
      </catAx>
      <valAx>
        <axId val="1405520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437770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Rendement op eigen geld (over 8 jaar)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Dashboard!$H$5:$J$5</f>
              <strCache>
                <ptCount val="3"/>
                <pt idx="0">
                  <v>Gravenstraat 93</v>
                </pt>
                <pt idx="1">
                  <v>Aziëlaan 57</v>
                </pt>
                <pt idx="2">
                  <v>Abel Tasmanstraat 128</v>
                </pt>
              </strCache>
            </strRef>
          </cat>
          <val>
            <numRef>
              <f>Dashboard!$H$28</f>
              <numCache>
                <formatCode>0.0%;[RED]\(0.0%\);\-</formatCode>
                <ptCount val="1"/>
                <pt idx="0">
                  <v>26.935518598502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Dashboard!$H$5:$J$5</f>
              <strCache>
                <ptCount val="3"/>
                <pt idx="0">
                  <v>Gravenstraat 93</v>
                </pt>
                <pt idx="1">
                  <v>Aziëlaan 57</v>
                </pt>
                <pt idx="2">
                  <v>Abel Tasmanstraat 128</v>
                </pt>
              </strCache>
            </strRef>
          </cat>
          <val>
            <numRef>
              <f>Dashboard!$I$28</f>
              <numCache>
                <formatCode>0.0%;[RED]\(0.0%\);\-</formatCode>
                <ptCount val="1"/>
                <pt idx="0">
                  <v>32.1999333550785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Dashboard!$H$5:$J$5</f>
              <strCache>
                <ptCount val="3"/>
                <pt idx="0">
                  <v>Gravenstraat 93</v>
                </pt>
                <pt idx="1">
                  <v>Aziëlaan 57</v>
                </pt>
                <pt idx="2">
                  <v>Abel Tasmanstraat 128</v>
                </pt>
              </strCache>
            </strRef>
          </cat>
          <val>
            <numRef>
              <f>Dashboard!$J$28</f>
              <numCache>
                <formatCode>0.0%;[RED]\(0.0%\);\-</formatCode>
                <ptCount val="1"/>
                <pt idx="0">
                  <v>6.48960590874088</v>
                </pt>
              </numCache>
            </numRef>
          </val>
        </ser>
        <gapWidth val="150"/>
        <overlap val="0"/>
        <axId val="66677663"/>
        <axId val="70143645"/>
      </barChart>
      <catAx>
        <axId val="666776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0143645"/>
        <crosses val="autoZero"/>
        <auto val="1"/>
        <lblAlgn val="ctr"/>
        <lblOffset val="100"/>
        <noMultiLvlLbl val="0"/>
      </catAx>
      <valAx>
        <axId val="7014364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Totaal rendement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667766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59</row>
      <rowOff>174240</rowOff>
    </from>
    <to>
      <col>6</col>
      <colOff>417960</colOff>
      <row>78</row>
      <rowOff>94680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0</colOff>
      <row>59</row>
      <rowOff>174240</rowOff>
    </from>
    <to>
      <col>15</col>
      <colOff>606600</colOff>
      <row>78</row>
      <rowOff>94680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80</row>
      <rowOff>114120</rowOff>
    </from>
    <to>
      <col>6</col>
      <colOff>417960</colOff>
      <row>99</row>
      <rowOff>94320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10</col>
      <colOff>0</colOff>
      <row>80</row>
      <rowOff>114120</rowOff>
    </from>
    <to>
      <col>15</col>
      <colOff>606600</colOff>
      <row>99</row>
      <rowOff>94320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0</col>
      <colOff>0</colOff>
      <row>101</row>
      <rowOff>114480</rowOff>
    </from>
    <to>
      <col>3</col>
      <colOff>372600</colOff>
      <row>116</row>
      <rowOff>136440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7</col>
      <colOff>0</colOff>
      <row>101</row>
      <rowOff>114480</rowOff>
    </from>
    <to>
      <col>11</col>
      <colOff>442800</colOff>
      <row>116</row>
      <rowOff>136440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2" min="1" max="1"/>
    <col width="30" customWidth="1" style="32" min="2" max="3"/>
  </cols>
  <sheetData>
    <row r="1" ht="19.7" customHeight="1" s="33">
      <c r="A1" s="34" t="inlineStr">
        <is>
          <t>Conclusies &amp; advies</t>
        </is>
      </c>
    </row>
    <row r="3" ht="15" customHeight="1" s="33">
      <c r="A3" s="35" t="inlineStr">
        <is>
          <t>⚠️ BELANGRIJKE CORRECTIE T.O.V. EERDERE VERSIE</t>
        </is>
      </c>
    </row>
    <row r="4" ht="79.5" customHeight="1" s="33">
      <c r="A4" s="36" t="inlineStr">
        <is>
          <t>Bij Aziëlaan 57 en Abel Tasmanstraat 128 ligt de vraagprijs BOVEN jullie max hypotheek. Dat betekent: extra eigen geld nodig om het gat te dichten. Voor Abel Tasman is dat €42K alleen al voor de koopsom + €9K kosten koper = €51K totaal. Dat past nét binnen je €60K budget, maar er blijft maar €9K over voor verbouwing/inrichting. Voor Aziëlaan op vraagprijs €22K totaal = veel ruimer. Gravenstraat past makkelijk binnen je hypotheek.</t>
        </is>
      </c>
    </row>
    <row r="6" ht="15" customHeight="1" s="33">
      <c r="A6" s="37" t="inlineStr">
        <is>
          <t>Geadviseerd bod &amp; eigen geld nodig</t>
        </is>
      </c>
    </row>
    <row r="7" ht="15" customHeight="1" s="33">
      <c r="A7" s="38" t="inlineStr">
        <is>
          <t>Appartement</t>
        </is>
      </c>
      <c r="B7" s="38" t="inlineStr">
        <is>
          <t>Advies bod</t>
        </is>
      </c>
      <c r="C7" s="38" t="inlineStr">
        <is>
          <t>Eigen geld bij dat bod</t>
        </is>
      </c>
    </row>
    <row r="8" ht="15" customHeight="1" s="33">
      <c r="A8" s="39" t="inlineStr">
        <is>
          <t>Gravenstraat 93</t>
        </is>
      </c>
      <c r="B8" s="40" t="inlineStr">
        <is>
          <t>100-103% (€365K - €376K)</t>
        </is>
      </c>
      <c r="C8" s="41" t="n">
        <v>8772.85</v>
      </c>
    </row>
    <row r="9" ht="15" customHeight="1" s="33">
      <c r="A9" s="39" t="inlineStr">
        <is>
          <t>Aziëlaan 57</t>
        </is>
      </c>
      <c r="B9" s="40" t="inlineStr">
        <is>
          <t>95-98% (€418K - €431K)</t>
        </is>
      </c>
      <c r="C9" s="41" t="n">
        <v>9097.6</v>
      </c>
    </row>
    <row r="10" ht="15" customHeight="1" s="33">
      <c r="A10" s="39" t="inlineStr">
        <is>
          <t>Abel Tasmanstraat 128</t>
        </is>
      </c>
      <c r="B10" s="40" t="inlineStr">
        <is>
          <t>100-105% (€479K - €503K)</t>
        </is>
      </c>
      <c r="C10" s="42" t="n">
        <v>63146.9999999999</v>
      </c>
    </row>
    <row r="12" ht="15" customHeight="1" s="33">
      <c r="A12" s="43" t="inlineStr">
        <is>
          <t>Gravenstraat 93 — 🔥 Heet, bied 100-103%</t>
        </is>
      </c>
    </row>
    <row r="13" ht="90" customHeight="1" s="33">
      <c r="A13" s="44" t="inlineStr">
        <is>
          <t>PRO: Goedkoopst (€365K), past makkelijk binnen hypotheek, recent vernieuwd 2022, lage VvE (€160). Vraagt slechts ~€11K eigen geld.
CONTRA: Oudst (1989), kleinst (69m²), geen eigen parkeer, A label = laagste van 3. Verwacht concurrentie — geen ruimte om laag te bieden.</t>
        </is>
      </c>
      <c r="B13" s="45" t="n"/>
      <c r="C13" s="46" t="n"/>
    </row>
    <row r="15" ht="15" customHeight="1" s="33">
      <c r="A15" s="43" t="inlineStr">
        <is>
          <t>Aziëlaan 57 — ❄️ Lauw, bied 95-98%  ⭐ BESTE KOOP</t>
        </is>
      </c>
    </row>
    <row r="16" ht="90" customHeight="1" s="33">
      <c r="A16" s="44" t="inlineStr">
        <is>
          <t>PRO: Grootst (87m²), beste prijs/m² (€5.057), naast NS-station, eigen parkeer in garage, ZW-balkon. 20 dagen op Funda met laagste views/dag = ruimte om onder te bieden.
CONTRA: Drukke weg in omschrijving. Hoogste VvE (€256). Vraagprijs vraagt €22K eigen geld; bij bod 96% (€422K) zit je rond €18K eigen geld.</t>
        </is>
      </c>
      <c r="B16" s="45" t="n"/>
      <c r="C16" s="46" t="n"/>
    </row>
    <row r="18" ht="15" customHeight="1" s="33">
      <c r="A18" s="43" t="inlineStr">
        <is>
          <t>Abel Tasmanstraat 128 — 🔥🔥 Zeer heet, bied 100-105%</t>
        </is>
      </c>
    </row>
    <row r="19" ht="90" customHeight="1" s="33">
      <c r="A19" s="44" t="inlineStr">
        <is>
          <t>PRO: Nieuwste (2022), beste label (A++), laagste energiekosten, eigen parkeer, WTW-installatie.
CONTRA: Duurst (€479K), kost €51K eigen geld = bijna hele budget op. Hoogste prijs/m² (€5.635). Wijk is bedrijventerrein-achtig, minder echte buurt-gevoel. Hoge concurrentie verwacht. Bij bod boven 105% past het niet meer in budget.</t>
        </is>
      </c>
      <c r="B19" s="45" t="n"/>
      <c r="C19" s="46" t="n"/>
    </row>
    <row r="21" ht="24.75" customHeight="1" s="33">
      <c r="A21" s="47" t="inlineStr">
        <is>
          <t>ONZE GOK: Aziëlaan 57</t>
        </is>
      </c>
    </row>
    <row r="22" ht="79.5" customHeight="1" s="33">
      <c r="A22" s="44" t="inlineStr">
        <is>
          <t>Beste rendement-risico verhouding. Markt is afgekoeld = ruimte voor scherp bod. Bij €420K bod kom je rond €20K eigen geld, hou je €40K over voor inrichting + buffer. Locatie + parkeer + grootte = beste doorverkoop-waarde over 8 jaar (geschat ~€515K netto bij 7,5% groei/jr).</t>
        </is>
      </c>
      <c r="B22" s="45" t="n"/>
      <c r="C22" s="46" t="n"/>
    </row>
  </sheetData>
  <mergeCells count="12">
    <mergeCell ref="A19:C19"/>
    <mergeCell ref="A13:C13"/>
    <mergeCell ref="A1:C1"/>
    <mergeCell ref="A6:C6"/>
    <mergeCell ref="A22:C22"/>
    <mergeCell ref="A18:C18"/>
    <mergeCell ref="A3:C3"/>
    <mergeCell ref="A21:C21"/>
    <mergeCell ref="A12:C12"/>
    <mergeCell ref="A4:C4"/>
    <mergeCell ref="A16:C16"/>
    <mergeCell ref="A15:C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2" min="1" max="1"/>
    <col width="14" customWidth="1" style="32" min="2" max="3"/>
    <col width="16" customWidth="1" style="32" min="4" max="4"/>
    <col width="12" customWidth="1" style="32" min="5" max="5"/>
    <col width="2" customWidth="1" style="32" min="6" max="6"/>
    <col width="32" customWidth="1" style="32" min="7" max="7"/>
    <col width="14" customWidth="1" style="32" min="8" max="9"/>
    <col width="16" customWidth="1" style="32" min="10" max="10"/>
    <col width="11" customWidth="1" style="32" min="11" max="14"/>
  </cols>
  <sheetData>
    <row r="1" ht="19.7" customHeight="1" s="33">
      <c r="A1" s="34" t="inlineStr">
        <is>
          <t>Appartement vergelijking — Alphen aan den Rijn</t>
        </is>
      </c>
    </row>
    <row r="2" ht="15" customHeight="1" s="33">
      <c r="A2" s="48" t="inlineStr">
        <is>
          <t>Eigen geld budget: max €60.000  •  Max hypotheek NHG 10jr 3,9%: €417K basis + label-bonus  •  Geen overdrachtsbelasting (startersvrijstelling &lt;€555K, &lt;35jr)</t>
        </is>
      </c>
    </row>
    <row r="4" ht="15" customHeight="1" s="33">
      <c r="A4" s="49" t="inlineStr">
        <is>
          <t>1. KERNGEGEVENS</t>
        </is>
      </c>
      <c r="B4" s="45" t="n"/>
      <c r="C4" s="45" t="n"/>
      <c r="D4" s="45" t="n"/>
      <c r="E4" s="46" t="n"/>
      <c r="G4" s="49" t="inlineStr">
        <is>
          <t>2. EIGEN GELD NODIG (max €60K budget)</t>
        </is>
      </c>
      <c r="H4" s="45" t="n"/>
      <c r="I4" s="45" t="n"/>
      <c r="J4" s="45" t="n"/>
      <c r="K4" s="45" t="n"/>
      <c r="L4" s="45" t="n"/>
      <c r="M4" s="45" t="n"/>
      <c r="N4" s="46" t="n"/>
    </row>
    <row r="5" ht="39.55" customHeight="1" s="33">
      <c r="A5" s="38" t="inlineStr">
        <is>
          <t>Kenmerk</t>
        </is>
      </c>
      <c r="B5" s="38" t="inlineStr">
        <is>
          <t>Gravenstraat 93</t>
        </is>
      </c>
      <c r="C5" s="38" t="inlineStr">
        <is>
          <t>Aziëlaan 57</t>
        </is>
      </c>
      <c r="D5" s="38" t="inlineStr">
        <is>
          <t>Abel Tasmanstraat 128</t>
        </is>
      </c>
      <c r="G5" s="38" t="inlineStr">
        <is>
          <t>Berekening</t>
        </is>
      </c>
      <c r="H5" s="38" t="inlineStr">
        <is>
          <t>Gravenstraat 93</t>
        </is>
      </c>
      <c r="I5" s="38" t="inlineStr">
        <is>
          <t>Aziëlaan 57</t>
        </is>
      </c>
      <c r="J5" s="38" t="inlineStr">
        <is>
          <t>Abel Tasmanstraat 128</t>
        </is>
      </c>
    </row>
    <row r="6" ht="15" customHeight="1" s="33">
      <c r="A6" s="39" t="inlineStr">
        <is>
          <t>Vraagprijs</t>
        </is>
      </c>
      <c r="B6" s="50" t="n">
        <v>365000</v>
      </c>
      <c r="C6" s="50" t="n">
        <v>440000</v>
      </c>
      <c r="D6" s="50" t="n">
        <v>479000</v>
      </c>
      <c r="G6" s="39" t="inlineStr">
        <is>
          <t>Vraagprijs (= aankoopprijs)</t>
        </is>
      </c>
      <c r="H6" s="50" t="n">
        <v>365000</v>
      </c>
      <c r="I6" s="50" t="n">
        <v>440000</v>
      </c>
      <c r="J6" s="50" t="n">
        <v>479000</v>
      </c>
    </row>
    <row r="7" ht="15" customHeight="1" s="33">
      <c r="A7" s="39" t="inlineStr">
        <is>
          <t>Woonoppervlak (m²)</t>
        </is>
      </c>
      <c r="B7" s="51" t="n">
        <v>69</v>
      </c>
      <c r="C7" s="51" t="n">
        <v>87</v>
      </c>
      <c r="D7" s="51" t="n">
        <v>85</v>
      </c>
      <c r="G7" s="39" t="inlineStr">
        <is>
          <t>Max hypotheek (label-afhankelijk)</t>
        </is>
      </c>
      <c r="H7" s="50" t="n">
        <v>427000</v>
      </c>
      <c r="I7" s="50" t="n">
        <v>437000</v>
      </c>
      <c r="J7" s="50" t="n">
        <v>437000</v>
      </c>
    </row>
    <row r="8" ht="15" customHeight="1" s="33">
      <c r="A8" s="39" t="inlineStr">
        <is>
          <t>Prijs / m²</t>
        </is>
      </c>
      <c r="B8" s="50">
        <f>B6/B7</f>
        <v/>
      </c>
      <c r="C8" s="50">
        <f>C6/C7</f>
        <v/>
      </c>
      <c r="D8" s="50">
        <f>D6/D7</f>
        <v/>
      </c>
      <c r="G8" s="39" t="inlineStr">
        <is>
          <t>Tekort op koopsom (eigen inleg)</t>
        </is>
      </c>
      <c r="H8" s="50">
        <f>MAX(0,H6-H7)</f>
        <v/>
      </c>
      <c r="I8" s="50">
        <f>MAX(0,I6-I7)</f>
        <v/>
      </c>
      <c r="J8" s="50">
        <f>MAX(0,J6-J7)</f>
        <v/>
      </c>
    </row>
    <row r="9" ht="23.85" customHeight="1" s="33">
      <c r="A9" s="39" t="inlineStr">
        <is>
          <t>Bouwjaar</t>
        </is>
      </c>
      <c r="B9" s="51" t="n">
        <v>1989</v>
      </c>
      <c r="C9" s="51" t="n">
        <v>2016</v>
      </c>
      <c r="D9" s="51" t="n">
        <v>2022</v>
      </c>
      <c r="G9" s="39" t="inlineStr">
        <is>
          <t>Kosten koper (notaris+adv+nhg+keuring)</t>
        </is>
      </c>
      <c r="H9" s="50">
        <f>6550+0.006*MIN(H6,H7)</f>
        <v/>
      </c>
      <c r="I9" s="50">
        <f>6550+0.006*MIN(I6,I7)</f>
        <v/>
      </c>
      <c r="J9" s="50">
        <f>6550+0.006*MIN(J6,J7)</f>
        <v/>
      </c>
    </row>
    <row r="10" ht="15" customHeight="1" s="33">
      <c r="A10" s="39" t="inlineStr">
        <is>
          <t>Energielabel</t>
        </is>
      </c>
      <c r="B10" s="52" t="inlineStr">
        <is>
          <t>A</t>
        </is>
      </c>
      <c r="C10" s="52" t="inlineStr">
        <is>
          <t>A+</t>
        </is>
      </c>
      <c r="D10" s="52" t="inlineStr">
        <is>
          <t>A++</t>
        </is>
      </c>
      <c r="G10" s="39" t="inlineStr">
        <is>
          <t>TOTAAL EIGEN GELD NODIG</t>
        </is>
      </c>
      <c r="H10" s="53">
        <f>H8+H9</f>
        <v/>
      </c>
      <c r="I10" s="53">
        <f>I8+I9</f>
        <v/>
      </c>
      <c r="J10" s="53">
        <f>J8+J9</f>
        <v/>
      </c>
    </row>
    <row r="11" ht="15" customHeight="1" s="33">
      <c r="A11" s="39" t="inlineStr">
        <is>
          <t>VvE + parkeer / mnd</t>
        </is>
      </c>
      <c r="B11" s="54" t="n">
        <v>160</v>
      </c>
      <c r="C11" s="54" t="n">
        <v>256.3</v>
      </c>
      <c r="D11" s="54" t="n">
        <v>206.37</v>
      </c>
      <c r="G11" s="39" t="inlineStr">
        <is>
          <t>Past binnen €60K?</t>
        </is>
      </c>
      <c r="H11" s="55">
        <f>IF(H10&lt;=60000,"✓ JA","✗ NEE")</f>
        <v/>
      </c>
      <c r="I11" s="55">
        <f>IF(I10&lt;=60000,"✓ JA","✗ NEE")</f>
        <v/>
      </c>
      <c r="J11" s="55">
        <f>IF(J10&lt;=60000,"✓ JA","✗ NEE")</f>
        <v/>
      </c>
    </row>
    <row r="12" ht="15" customHeight="1" s="33">
      <c r="A12" s="39" t="inlineStr">
        <is>
          <t>Eigen parkeerplaats</t>
        </is>
      </c>
      <c r="B12" s="52" t="inlineStr">
        <is>
          <t>Nee</t>
        </is>
      </c>
      <c r="C12" s="52" t="inlineStr">
        <is>
          <t>Ja (garage)</t>
        </is>
      </c>
      <c r="D12" s="52" t="inlineStr">
        <is>
          <t>Ja (eigen)</t>
        </is>
      </c>
      <c r="G12" s="39" t="inlineStr">
        <is>
          <t>Geld over voor verbouwen/inrichten</t>
        </is>
      </c>
      <c r="H12" s="50">
        <f>60000-H10</f>
        <v/>
      </c>
      <c r="I12" s="50">
        <f>60000-I10</f>
        <v/>
      </c>
      <c r="J12" s="50">
        <f>60000-J10</f>
        <v/>
      </c>
    </row>
    <row r="13" ht="15" customHeight="1" s="33">
      <c r="A13" s="39" t="inlineStr">
        <is>
          <t>WOZ 2025</t>
        </is>
      </c>
      <c r="B13" s="50" t="n">
        <v>316000</v>
      </c>
      <c r="C13" s="50" t="n">
        <v>449000</v>
      </c>
      <c r="D13" s="50" t="n">
        <v>459000</v>
      </c>
    </row>
    <row r="14" ht="15" customHeight="1" s="33">
      <c r="A14" s="39" t="inlineStr">
        <is>
          <t>Huispedia 60%</t>
        </is>
      </c>
      <c r="B14" s="50" t="n">
        <v>399000</v>
      </c>
      <c r="C14" s="50" t="n">
        <v>478000</v>
      </c>
      <c r="D14" s="50" t="n">
        <v>517000</v>
      </c>
    </row>
    <row r="15" ht="15" customHeight="1" s="33">
      <c r="A15" s="39" t="inlineStr">
        <is>
          <t>Vraagprijs vs HP60</t>
        </is>
      </c>
      <c r="B15" s="56">
        <f>B6/B14-1</f>
        <v/>
      </c>
      <c r="C15" s="56">
        <f>C6/C14-1</f>
        <v/>
      </c>
      <c r="D15" s="56">
        <f>D6/D14-1</f>
        <v/>
      </c>
    </row>
    <row r="17" ht="15" customHeight="1" s="33">
      <c r="A17" s="49" t="inlineStr">
        <is>
          <t>3. ONDERHANDELING &amp; POPULARITEIT</t>
        </is>
      </c>
      <c r="B17" s="45" t="n"/>
      <c r="C17" s="45" t="n"/>
      <c r="D17" s="45" t="n"/>
      <c r="E17" s="46" t="n"/>
      <c r="G17" s="49" t="inlineStr">
        <is>
          <t>4. VERKOOP NA 8 JAAR (netto opbrengst)</t>
        </is>
      </c>
      <c r="H17" s="45" t="n"/>
      <c r="I17" s="45" t="n"/>
      <c r="J17" s="45" t="n"/>
      <c r="K17" s="45" t="n"/>
      <c r="L17" s="45" t="n"/>
      <c r="M17" s="45" t="n"/>
      <c r="N17" s="46" t="n"/>
    </row>
    <row r="18" ht="39.55" customHeight="1" s="33">
      <c r="A18" s="38" t="inlineStr">
        <is>
          <t>Metric</t>
        </is>
      </c>
      <c r="B18" s="38" t="inlineStr">
        <is>
          <t>Gravenstraat 93</t>
        </is>
      </c>
      <c r="C18" s="38" t="inlineStr">
        <is>
          <t>Aziëlaan 57</t>
        </is>
      </c>
      <c r="D18" s="38" t="inlineStr">
        <is>
          <t>Abel Tasmanstraat 128</t>
        </is>
      </c>
      <c r="G18" s="38" t="inlineStr">
        <is>
          <t>Berekening</t>
        </is>
      </c>
      <c r="H18" s="38" t="inlineStr">
        <is>
          <t>Gravenstraat 93</t>
        </is>
      </c>
      <c r="I18" s="38" t="inlineStr">
        <is>
          <t>Aziëlaan 57</t>
        </is>
      </c>
      <c r="J18" s="38" t="inlineStr">
        <is>
          <t>Abel Tasmanstraat 128</t>
        </is>
      </c>
    </row>
    <row r="19" ht="15" customHeight="1" s="33">
      <c r="A19" s="39" t="inlineStr">
        <is>
          <t>Funda views totaal</t>
        </is>
      </c>
      <c r="B19" s="51" t="n">
        <v>972</v>
      </c>
      <c r="C19" s="51" t="n">
        <v>2268</v>
      </c>
      <c r="D19" s="51" t="n">
        <v>1435</v>
      </c>
      <c r="G19" s="39" t="inlineStr">
        <is>
          <t>Aankoopprijs (= vraagprijs)</t>
        </is>
      </c>
      <c r="H19" s="50" t="n">
        <v>365000</v>
      </c>
      <c r="I19" s="50" t="n">
        <v>440000</v>
      </c>
      <c r="J19" s="50" t="n">
        <v>479000</v>
      </c>
    </row>
    <row r="20" ht="15" customHeight="1" s="33">
      <c r="A20" s="39" t="inlineStr">
        <is>
          <t>Dagen op Funda</t>
        </is>
      </c>
      <c r="B20" s="51" t="n">
        <v>5</v>
      </c>
      <c r="C20" s="51" t="n">
        <v>20</v>
      </c>
      <c r="D20" s="51" t="n">
        <v>6</v>
      </c>
      <c r="G20" s="39" t="inlineStr">
        <is>
          <t>Realistische groei /jaar</t>
        </is>
      </c>
      <c r="H20" s="56" t="n">
        <v>0.055</v>
      </c>
      <c r="I20" s="56" t="n">
        <v>0.075</v>
      </c>
      <c r="J20" s="56" t="n">
        <v>0.06</v>
      </c>
    </row>
    <row r="21" ht="15" customHeight="1" s="33">
      <c r="A21" s="39" t="inlineStr">
        <is>
          <t>Views per dag</t>
        </is>
      </c>
      <c r="B21" s="57">
        <f>B19/B20</f>
        <v/>
      </c>
      <c r="C21" s="57">
        <f>C19/C20</f>
        <v/>
      </c>
      <c r="D21" s="57">
        <f>D19/D20</f>
        <v/>
      </c>
      <c r="G21" s="39" t="inlineStr">
        <is>
          <t>Waarde over 8 jaar</t>
        </is>
      </c>
      <c r="H21" s="50">
        <f>H19*(1+H20)^8</f>
        <v/>
      </c>
      <c r="I21" s="50">
        <f>I19*(1+I20)^8</f>
        <v/>
      </c>
      <c r="J21" s="50">
        <f>J19*(1+J20)^8</f>
        <v/>
      </c>
    </row>
    <row r="22" ht="15" customHeight="1" s="33">
      <c r="A22" s="39" t="inlineStr">
        <is>
          <t>Aantal keer bewaard</t>
        </is>
      </c>
      <c r="B22" s="51" t="n">
        <v>26</v>
      </c>
      <c r="C22" s="51" t="n">
        <v>17</v>
      </c>
      <c r="D22" s="51" t="n">
        <v>17</v>
      </c>
      <c r="G22" s="39" t="inlineStr">
        <is>
          <t>Hypotheekbedrag</t>
        </is>
      </c>
      <c r="H22" s="50">
        <f>MIN(H6,H7)</f>
        <v/>
      </c>
      <c r="I22" s="50">
        <f>MIN(I6,I7)</f>
        <v/>
      </c>
      <c r="J22" s="50">
        <f>MIN(J6,J7)</f>
        <v/>
      </c>
    </row>
    <row r="23" ht="15" customHeight="1" s="33">
      <c r="A23" s="39" t="inlineStr">
        <is>
          <t>Bewaard/views ratio</t>
        </is>
      </c>
      <c r="B23" s="58">
        <f>B22/B19</f>
        <v/>
      </c>
      <c r="C23" s="58">
        <f>C22/C19</f>
        <v/>
      </c>
      <c r="D23" s="58">
        <f>D22/D19</f>
        <v/>
      </c>
      <c r="G23" s="39" t="inlineStr">
        <is>
          <t>Restschuld na 8 jaar (annuïteit 3,9%)</t>
        </is>
      </c>
      <c r="H23" s="50">
        <f>H22*((1+0.039/12)^360-(1+0.039/12)^96)/((1+0.039/12)^360-1)</f>
        <v/>
      </c>
      <c r="I23" s="50">
        <f>I22*((1+0.039/12)^360-(1+0.039/12)^96)/((1+0.039/12)^360-1)</f>
        <v/>
      </c>
      <c r="J23" s="50">
        <f>J22*((1+0.039/12)^360-(1+0.039/12)^96)/((1+0.039/12)^360-1)</f>
        <v/>
      </c>
    </row>
    <row r="24" ht="15" customHeight="1" s="33">
      <c r="A24" s="39" t="inlineStr">
        <is>
          <t>Markt-temperatuur</t>
        </is>
      </c>
      <c r="B24" s="59" t="inlineStr">
        <is>
          <t>🔥 Heet</t>
        </is>
      </c>
      <c r="C24" s="59" t="inlineStr">
        <is>
          <t>❄️ Lauw</t>
        </is>
      </c>
      <c r="D24" s="59" t="inlineStr">
        <is>
          <t>🔥🔥 Zeer heet</t>
        </is>
      </c>
      <c r="G24" s="39" t="inlineStr">
        <is>
          <t>Verkoopkosten (2% makelaar)</t>
        </is>
      </c>
      <c r="H24" s="50">
        <f>H21*0.02</f>
        <v/>
      </c>
      <c r="I24" s="50">
        <f>I21*0.02</f>
        <v/>
      </c>
      <c r="J24" s="50">
        <f>J21*0.02</f>
        <v/>
      </c>
    </row>
    <row r="25" ht="15" customHeight="1" s="33">
      <c r="A25" s="39" t="inlineStr">
        <is>
          <t>Geadviseerd bod %</t>
        </is>
      </c>
      <c r="B25" s="60" t="inlineStr">
        <is>
          <t>100-103%</t>
        </is>
      </c>
      <c r="C25" s="60" t="inlineStr">
        <is>
          <t>95-98%</t>
        </is>
      </c>
      <c r="D25" s="60" t="inlineStr">
        <is>
          <t>100-105%</t>
        </is>
      </c>
      <c r="G25" s="39" t="inlineStr">
        <is>
          <t>Ingelegde eigen geld (uit blok 2)</t>
        </is>
      </c>
      <c r="H25" s="50">
        <f>H10</f>
        <v/>
      </c>
      <c r="I25" s="50">
        <f>I10</f>
        <v/>
      </c>
      <c r="J25" s="50">
        <f>J10</f>
        <v/>
      </c>
    </row>
    <row r="26" ht="15" customHeight="1" s="33">
      <c r="A26" s="61" t="inlineStr">
        <is>
          <t>Geadviseerd bod (€, midden)</t>
        </is>
      </c>
      <c r="B26" s="62" t="n">
        <v>370475</v>
      </c>
      <c r="C26" s="62" t="n">
        <v>424600</v>
      </c>
      <c r="D26" s="62" t="n">
        <v>490975</v>
      </c>
      <c r="G26" s="39" t="inlineStr">
        <is>
          <t>NETTO OPBRENGST</t>
        </is>
      </c>
      <c r="H26" s="63">
        <f>H21-H23-H24</f>
        <v/>
      </c>
      <c r="I26" s="63">
        <f>I21-I23-I24</f>
        <v/>
      </c>
      <c r="J26" s="63">
        <f>J21-J23-J24</f>
        <v/>
      </c>
    </row>
    <row r="27" ht="15" customHeight="1" s="33">
      <c r="A27" s="64" t="inlineStr">
        <is>
          <t>Eigen geld bij geadviseerd bod</t>
        </is>
      </c>
      <c r="B27" s="41" t="n">
        <v>8772.85</v>
      </c>
      <c r="C27" s="41" t="n">
        <v>9097.6</v>
      </c>
      <c r="D27" s="42" t="n">
        <v>63146.9999999999</v>
      </c>
      <c r="G27" s="39" t="inlineStr">
        <is>
          <t>Winst t.o.v. eigen inleg</t>
        </is>
      </c>
      <c r="H27" s="50">
        <f>H26-H25</f>
        <v/>
      </c>
      <c r="I27" s="50">
        <f>I26-I25</f>
        <v/>
      </c>
      <c r="J27" s="50">
        <f>J26-J25</f>
        <v/>
      </c>
    </row>
    <row r="28" ht="15" customHeight="1" s="33">
      <c r="G28" s="39" t="inlineStr">
        <is>
          <t>Rendement op eigen geld (totaal)</t>
        </is>
      </c>
      <c r="H28" s="65">
        <f>IFERROR(H27/H25,"")</f>
        <v/>
      </c>
      <c r="I28" s="65">
        <f>IFERROR(I27/I25,"")</f>
        <v/>
      </c>
      <c r="J28" s="65">
        <f>IFERROR(J27/J25,"")</f>
        <v/>
      </c>
    </row>
    <row r="30" ht="15" customHeight="1" s="33">
      <c r="A30" s="37" t="inlineStr">
        <is>
          <t>Waardegroei per jaar (realistisch scenario)</t>
        </is>
      </c>
    </row>
    <row r="31" ht="39.55" customHeight="1" s="33">
      <c r="A31" s="38" t="inlineStr">
        <is>
          <t>Jaar</t>
        </is>
      </c>
      <c r="B31" s="38" t="inlineStr">
        <is>
          <t>Jr 0</t>
        </is>
      </c>
      <c r="C31" s="38" t="inlineStr">
        <is>
          <t>Jr 1</t>
        </is>
      </c>
      <c r="D31" s="38" t="inlineStr">
        <is>
          <t>Jr 2</t>
        </is>
      </c>
      <c r="E31" s="38" t="inlineStr">
        <is>
          <t>Jr 3</t>
        </is>
      </c>
      <c r="F31" s="38" t="inlineStr">
        <is>
          <t>Jr 4</t>
        </is>
      </c>
      <c r="G31" s="38" t="inlineStr">
        <is>
          <t>Jr 5</t>
        </is>
      </c>
      <c r="H31" s="38" t="inlineStr">
        <is>
          <t>Jr 6</t>
        </is>
      </c>
      <c r="I31" s="38" t="inlineStr">
        <is>
          <t>Jr 7</t>
        </is>
      </c>
      <c r="J31" s="38" t="inlineStr">
        <is>
          <t>Jr 8</t>
        </is>
      </c>
    </row>
    <row r="32" ht="15" customHeight="1" s="33">
      <c r="A32" s="39" t="inlineStr">
        <is>
          <t>Gravenstraat 93</t>
        </is>
      </c>
      <c r="B32" s="50">
        <f>365000*(1+$H20)^0</f>
        <v/>
      </c>
      <c r="C32" s="50">
        <f>365000*(1+$H20)^1</f>
        <v/>
      </c>
      <c r="D32" s="50">
        <f>365000*(1+$H20)^2</f>
        <v/>
      </c>
      <c r="E32" s="50">
        <f>365000*(1+$H20)^3</f>
        <v/>
      </c>
      <c r="F32" s="50">
        <f>365000*(1+$H20)^4</f>
        <v/>
      </c>
      <c r="G32" s="50">
        <f>365000*(1+$H20)^5</f>
        <v/>
      </c>
      <c r="H32" s="50">
        <f>365000*(1+$H20)^6</f>
        <v/>
      </c>
      <c r="I32" s="50">
        <f>365000*(1+$H20)^7</f>
        <v/>
      </c>
      <c r="J32" s="50">
        <f>365000*(1+$H20)^8</f>
        <v/>
      </c>
    </row>
    <row r="33" ht="15" customHeight="1" s="33">
      <c r="A33" s="39" t="inlineStr">
        <is>
          <t>Aziëlaan 57</t>
        </is>
      </c>
      <c r="B33" s="50">
        <f>440000*(1+$I20)^0</f>
        <v/>
      </c>
      <c r="C33" s="50">
        <f>440000*(1+$I20)^1</f>
        <v/>
      </c>
      <c r="D33" s="50">
        <f>440000*(1+$I20)^2</f>
        <v/>
      </c>
      <c r="E33" s="50">
        <f>440000*(1+$I20)^3</f>
        <v/>
      </c>
      <c r="F33" s="50">
        <f>440000*(1+$I20)^4</f>
        <v/>
      </c>
      <c r="G33" s="50">
        <f>440000*(1+$I20)^5</f>
        <v/>
      </c>
      <c r="H33" s="50">
        <f>440000*(1+$I20)^6</f>
        <v/>
      </c>
      <c r="I33" s="50">
        <f>440000*(1+$I20)^7</f>
        <v/>
      </c>
      <c r="J33" s="50">
        <f>440000*(1+$I20)^8</f>
        <v/>
      </c>
    </row>
    <row r="34" ht="15" customHeight="1" s="33">
      <c r="A34" s="39" t="inlineStr">
        <is>
          <t>Abel Tasmanstraat 128</t>
        </is>
      </c>
      <c r="B34" s="50">
        <f>479000*(1+$J20)^0</f>
        <v/>
      </c>
      <c r="C34" s="50">
        <f>479000*(1+$J20)^1</f>
        <v/>
      </c>
      <c r="D34" s="50">
        <f>479000*(1+$J20)^2</f>
        <v/>
      </c>
      <c r="E34" s="50">
        <f>479000*(1+$J20)^3</f>
        <v/>
      </c>
      <c r="F34" s="50">
        <f>479000*(1+$J20)^4</f>
        <v/>
      </c>
      <c r="G34" s="50">
        <f>479000*(1+$J20)^5</f>
        <v/>
      </c>
      <c r="H34" s="50">
        <f>479000*(1+$J20)^6</f>
        <v/>
      </c>
      <c r="I34" s="50">
        <f>479000*(1+$J20)^7</f>
        <v/>
      </c>
      <c r="J34" s="50">
        <f>479000*(1+$J20)^8</f>
        <v/>
      </c>
    </row>
    <row r="37" ht="15" customHeight="1" s="33">
      <c r="A37" s="37" t="inlineStr">
        <is>
          <t>Eigen geld nodig per biedscenario</t>
        </is>
      </c>
    </row>
    <row r="38" ht="39.55" customHeight="1" s="33">
      <c r="A38" s="38" t="inlineStr">
        <is>
          <t>Bod %</t>
        </is>
      </c>
      <c r="B38" s="38" t="inlineStr">
        <is>
          <t>Gravenstraat 93</t>
        </is>
      </c>
      <c r="C38" s="38" t="inlineStr">
        <is>
          <t>Aziëlaan 57</t>
        </is>
      </c>
      <c r="D38" s="38" t="inlineStr">
        <is>
          <t>Abel Tasmanstraat 128</t>
        </is>
      </c>
      <c r="E38" s="38" t="inlineStr">
        <is>
          <t>Budget</t>
        </is>
      </c>
    </row>
    <row r="39" ht="15" customHeight="1" s="33">
      <c r="A39" s="39" t="inlineStr">
        <is>
          <t>93%</t>
        </is>
      </c>
      <c r="B39" s="66" t="n">
        <v>8586.700000000001</v>
      </c>
      <c r="C39" s="66" t="n">
        <v>9005.200000000001</v>
      </c>
      <c r="D39" s="66" t="n">
        <v>17642</v>
      </c>
      <c r="E39" s="50" t="n">
        <v>60000</v>
      </c>
    </row>
    <row r="40" ht="15" customHeight="1" s="33">
      <c r="A40" s="39" t="inlineStr">
        <is>
          <t>95%</t>
        </is>
      </c>
      <c r="B40" s="66" t="n">
        <v>8630.5</v>
      </c>
      <c r="C40" s="66" t="n">
        <v>9058</v>
      </c>
      <c r="D40" s="66" t="n">
        <v>27222</v>
      </c>
      <c r="E40" s="50" t="n">
        <v>60000</v>
      </c>
    </row>
    <row r="41" ht="15" customHeight="1" s="33">
      <c r="A41" s="39" t="inlineStr">
        <is>
          <t>97%</t>
        </is>
      </c>
      <c r="B41" s="66" t="n">
        <v>8674.299999999999</v>
      </c>
      <c r="C41" s="66" t="n">
        <v>9110.799999999999</v>
      </c>
      <c r="D41" s="66" t="n">
        <v>36802</v>
      </c>
      <c r="E41" s="50" t="n">
        <v>60000</v>
      </c>
    </row>
    <row r="42" ht="15" customHeight="1" s="33">
      <c r="A42" s="39" t="inlineStr">
        <is>
          <t>100%</t>
        </is>
      </c>
      <c r="B42" s="66" t="n">
        <v>8740</v>
      </c>
      <c r="C42" s="66" t="n">
        <v>12172</v>
      </c>
      <c r="D42" s="66" t="n">
        <v>51172</v>
      </c>
      <c r="E42" s="50" t="n">
        <v>60000</v>
      </c>
    </row>
    <row r="43" ht="15" customHeight="1" s="33">
      <c r="A43" s="39" t="inlineStr">
        <is>
          <t>103%</t>
        </is>
      </c>
      <c r="B43" s="66" t="n">
        <v>8805.700000000001</v>
      </c>
      <c r="C43" s="66" t="n">
        <v>25372</v>
      </c>
      <c r="D43" s="67" t="n">
        <v>65542</v>
      </c>
      <c r="E43" s="50" t="n">
        <v>60000</v>
      </c>
    </row>
    <row r="44" ht="15" customHeight="1" s="33">
      <c r="A44" s="39" t="inlineStr">
        <is>
          <t>105%</t>
        </is>
      </c>
      <c r="B44" s="66" t="n">
        <v>8849.5</v>
      </c>
      <c r="C44" s="66" t="n">
        <v>34172</v>
      </c>
      <c r="D44" s="67" t="n">
        <v>75122</v>
      </c>
      <c r="E44" s="50" t="n">
        <v>60000</v>
      </c>
    </row>
    <row r="45" ht="15" customHeight="1" s="33">
      <c r="A45" s="39" t="inlineStr">
        <is>
          <t>107%</t>
        </is>
      </c>
      <c r="B45" s="66" t="n">
        <v>8893.299999999999</v>
      </c>
      <c r="C45" s="66" t="n">
        <v>42972</v>
      </c>
      <c r="D45" s="67" t="n">
        <v>84702.0000000001</v>
      </c>
      <c r="E45" s="50" t="n">
        <v>60000</v>
      </c>
    </row>
    <row r="48" ht="15" customHeight="1" s="33">
      <c r="A48" s="37" t="inlineStr">
        <is>
          <t>Vraagprijs versus waardeschattingen</t>
        </is>
      </c>
    </row>
    <row r="49" ht="39.55" customHeight="1" s="33">
      <c r="A49" s="38" t="inlineStr">
        <is>
          <t>Schatting</t>
        </is>
      </c>
      <c r="B49" s="38" t="inlineStr">
        <is>
          <t>Gravenstraat 93</t>
        </is>
      </c>
      <c r="C49" s="38" t="inlineStr">
        <is>
          <t>Aziëlaan 57</t>
        </is>
      </c>
      <c r="D49" s="38" t="inlineStr">
        <is>
          <t>Abel Tasmanstraat 128</t>
        </is>
      </c>
    </row>
    <row r="50" ht="15" customHeight="1" s="33">
      <c r="A50" s="39" t="inlineStr">
        <is>
          <t>WOZ 2025</t>
        </is>
      </c>
      <c r="B50" s="50" t="n">
        <v>316000</v>
      </c>
      <c r="C50" s="50" t="n">
        <v>449000</v>
      </c>
      <c r="D50" s="50" t="n">
        <v>459000</v>
      </c>
    </row>
    <row r="51" ht="15" customHeight="1" s="33">
      <c r="A51" s="39" t="inlineStr">
        <is>
          <t>Huispedia 60%</t>
        </is>
      </c>
      <c r="B51" s="50" t="n">
        <v>399000</v>
      </c>
      <c r="C51" s="50" t="n">
        <v>478000</v>
      </c>
      <c r="D51" s="50" t="n">
        <v>517000</v>
      </c>
    </row>
    <row r="52" ht="15" customHeight="1" s="33">
      <c r="A52" s="39" t="inlineStr">
        <is>
          <t>Vraagprijs</t>
        </is>
      </c>
      <c r="B52" s="50" t="n">
        <v>365000</v>
      </c>
      <c r="C52" s="50" t="n">
        <v>440000</v>
      </c>
      <c r="D52" s="50" t="n">
        <v>479000</v>
      </c>
    </row>
    <row r="69" ht="19.7" customHeight="1" s="33">
      <c r="A69" s="34" t="inlineStr">
        <is>
          <t>VISUEEL OVERZICHT</t>
        </is>
      </c>
    </row>
  </sheetData>
  <mergeCells count="10">
    <mergeCell ref="G4:N4"/>
    <mergeCell ref="A4:E4"/>
    <mergeCell ref="A48:E48"/>
    <mergeCell ref="G17:N17"/>
    <mergeCell ref="A69:N69"/>
    <mergeCell ref="A2:N2"/>
    <mergeCell ref="A30:J30"/>
    <mergeCell ref="A37:E37"/>
    <mergeCell ref="A17:E17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2026-05-25T17:04:56Z</dcterms:created>
  <dcterms:modified xmlns:dcterms="http://purl.org/dc/terms/" xmlns:xsi="http://www.w3.org/2001/XMLSchema-instance" xsi:type="dcterms:W3CDTF">2026-05-25T17:05:21Z</dcterms:modified>
  <cp:revision>1</cp:revision>
</cp:coreProperties>
</file>